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eatr\AppData\Roaming\Microsoft\Windows\Network Shortcuts\"/>
    </mc:Choice>
  </mc:AlternateContent>
  <xr:revisionPtr revIDLastSave="0" documentId="8_{080A0AE2-4374-49DC-BB82-C2E924842B93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3" l="1"/>
  <c r="D23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<sst xmlns="http://schemas.openxmlformats.org/spreadsheetml/2006/main" count="2022" uniqueCount="324">
  <si>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</si>
  <si>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</si>
  <si>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</si>
  <si>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</si>
  <si>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</si>
  <si>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</si>
  <si>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</si>
  <si>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</si>
  <si>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</si>
  <si>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</si>
  <si>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</si>
  <si>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</si>
  <si>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</si>
  <si>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</si>
  <si>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</si>
  <si>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</si>
  <si>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</si>
  <si>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</si>
  <si>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</si>
  <si>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</si>
  <si>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</si>
  <si>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</si>
  <si>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</si>
  <si>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</si>
  <si>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</si>
  <si>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</si>
  <si>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</si>
  <si>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</si>
  <si>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</si>
  <si>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</si>
  <si>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</si>
  <si>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</si>
  <si>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</si>
  <si>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</si>
  <si>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</si>
  <si>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</si>
  <si>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</si>
  <si>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</si>
  <si>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</si>
  <si>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</si>
  <si>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</si>
  <si>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</si>
  <si>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</si>
  <si>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</si>
  <si>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</si>
  <si>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</si>
  <si>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</si>
  <si>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</si>
  <si>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</si>
  <si>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</si>
  <si>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</si>
  <si>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</si>
  <si>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</si>
  <si>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</si>
  <si>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</si>
  <si>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</si>
  <si>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</si>
  <si>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</si>
  <si>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</si>
  <si>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</si>
  <si>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</si>
  <si>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</si>
  <si>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</si>
  <si>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</si>
  <si>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</si>
  <si>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</si>
  <si>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</si>
  <si>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</si>
  <si>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</si>
  <si>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</si>
  <si>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</si>
  <si>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</si>
  <si>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</si>
  <si>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</si>
  <si>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</si>
  <si>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</si>
  <si>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</si>
  <si>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</si>
  <si>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</si>
  <si>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</si>
  <si>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</si>
  <si>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</si>
  <si>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</si>
  <si>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</si>
  <si>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</si>
  <si>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</si>
  <si>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</si>
  <si>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</si>
  <si>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</si>
  <si>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</si>
  <si>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</si>
  <si>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</si>
  <si>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</si>
  <si>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</si>
  <si>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</si>
  <si>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</si>
  <si>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</si>
  <si>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</si>
  <si>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</si>
  <si>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</si>
  <si>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</si>
  <si>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</si>
  <si>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</si>
  <si>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</si>
  <si>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</si>
  <si>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</si>
  <si>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</si>
  <si>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</si>
  <si>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</si>
  <si>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</si>
  <si>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</si>
  <si>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</si>
  <si>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</si>
  <si>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</si>
  <si>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</si>
  <si>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</si>
  <si>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</si>
  <si>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</si>
  <si>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</si>
  <si>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</si>
  <si>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</si>
  <si>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</si>
  <si>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</si>
  <si>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</si>
  <si>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</si>
  <si>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</si>
  <si>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</si>
  <si>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</si>
  <si>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</si>
  <si>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</si>
  <si>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</si>
  <si>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</si>
  <si>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</si>
  <si>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</si>
  <si>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</si>
  <si>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</si>
  <si>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</si>
  <si>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</si>
  <si>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</si>
  <si>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</si>
  <si>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</si>
  <si>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</si>
  <si>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</si>
  <si>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</si>
  <si>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</si>
  <si>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</si>
  <si>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</si>
  <si>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</si>
  <si>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</si>
  <si>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</si>
  <si>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</si>
  <si>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</si>
  <si>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</si>
  <si>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</si>
  <si>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</si>
  <si>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</si>
  <si>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</si>
  <si>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</si>
  <si>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</si>
  <si>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</si>
  <si>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</si>
  <si>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</si>
  <si>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</si>
  <si>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</si>
  <si>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</si>
  <si>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</si>
  <si>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</si>
  <si>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</si>
  <si>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</si>
  <si>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</si>
  <si>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</si>
  <si>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</si>
  <si>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</si>
  <si>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</si>
  <si>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</si>
  <si>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</si>
  <si>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</si>
  <si>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</si>
  <si>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</si>
  <si>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</si>
  <si>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</si>
  <si>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</si>
  <si>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</si>
  <si>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</si>
  <si>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</si>
  <si>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</si>
  <si>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</si>
  <si>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</si>
  <si>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</si>
  <si>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</si>
  <si>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</si>
  <si>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</si>
  <si>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</si>
  <si>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</si>
  <si>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</si>
  <si>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</si>
  <si>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</si>
  <si>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</si>
  <si>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</si>
  <si>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</si>
  <si>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</si>
  <si>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</si>
  <si>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</si>
  <si>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</si>
  <si>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</si>
  <si>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</si>
  <si>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</si>
  <si>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</si>
  <si>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</si>
  <si>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</si>
  <si>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</si>
  <si>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</si>
  <si>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</si>
  <si>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</si>
  <si>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</si>
  <si>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</si>
  <si>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</si>
  <si>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</si>
  <si>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</si>
  <si>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</si>
  <si>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</si>
  <si>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</si>
  <si>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</si>
  <si>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</si>
  <si>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</si>
  <si>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</si>
  <si>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</si>
  <si>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</si>
  <si>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</si>
  <si>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</si>
  <si>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</si>
  <si>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</si>
  <si>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</si>
  <si>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</si>
  <si>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</si>
  <si>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</si>
  <si>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</si>
  <si>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</si>
  <si>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</si>
  <si>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</si>
  <si>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</si>
  <si>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</si>
  <si>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</si>
  <si>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</si>
  <si>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</si>
  <si>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</si>
  <si>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</si>
  <si>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</si>
  <si>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</si>
  <si>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</si>
  <si>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</si>
  <si>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</si>
  <si>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</si>
  <si>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</si>
  <si>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</si>
  <si>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</si>
  <si>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</si>
  <si>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</si>
  <si>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</si>
  <si>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</si>
  <si>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</si>
  <si>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</si>
  <si>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</si>
  <si>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</si>
  <si>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</si>
  <si>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</si>
  <si>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</si>
  <si>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</si>
  <si>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</si>
  <si>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</si>
  <si>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</si>
  <si>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</si>
  <si>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</si>
  <si>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</si>
  <si>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</si>
  <si>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</si>
  <si>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</si>
  <si>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</si>
  <si>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</si>
  <si>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</si>
  <si>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</si>
  <si>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</si>
  <si>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</si>
  <si>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</si>
  <si>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</si>
  <si>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</si>
  <si>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</si>
  <si>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</si>
  <si>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</si>
  <si>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</si>
  <si>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</si>
  <si>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</si>
  <si>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</si>
  <si>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</si>
  <si>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</si>
  <si>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</si>
  <si>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</si>
  <si>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</si>
  <si>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</si>
  <si>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</si>
  <si>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</si>
  <si>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</si>
  <si>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</si>
  <si>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</si>
  <si>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</si>
  <si>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</si>
  <si>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</si>
  <si>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</si>
  <si>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</si>
  <si>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</si>
  <si>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</si>
  <si>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</si>
  <si>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</si>
  <si>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negocio respondida através de alguma análise de dado especifica</t>
  </si>
  <si>
    <t>Soma de Total Value</t>
  </si>
  <si>
    <t>Rótulos de Linha</t>
  </si>
  <si>
    <t>Total Geral</t>
  </si>
  <si>
    <r>
      <t xml:space="preserve">Pergunta de negocio 1 -Qqual faturamento </t>
    </r>
    <r>
      <rPr>
        <b/>
        <sz val="11"/>
        <color theme="1"/>
        <rFont val="Aptos Narrow"/>
        <family val="2"/>
        <scheme val="minor"/>
      </rPr>
      <t>total de venda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(contendo todas as assinaturas agregadas)</t>
    </r>
  </si>
  <si>
    <r>
      <t xml:space="preserve">Pegunta de negocio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alto renovação ou não é por auto renovação</t>
    </r>
  </si>
  <si>
    <t>XBOX GAME SUBSCRIPITIONS SALES</t>
  </si>
  <si>
    <t>Pergunta de negocio 3 -  total de vendas de assinaturas do EA Play</t>
  </si>
  <si>
    <t>Soma de EA Play Season Pass</t>
  </si>
  <si>
    <t xml:space="preserve">Pesquisa de negocio 4- Total de vendas de assinaturas do Minecraft Season Pass 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</si>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</sst>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Fluent Icons"/>
      <family val="1"/>
    </font>
    <font>
      <b/>
      <sz val="15"/>
      <color rgb="FF22C55E"/>
      <name val="Segoe Fluent Icons"/>
      <family val="1"/>
    </font>
    <font>
      <b/>
      <sz val="28"/>
      <color rgb="FF22C55E"/>
      <name val="Segoe Fluent Icons"/>
      <family val="1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8" borderId="0" xfId="3"/>
    <xf numFmtId="0" fontId="6" fillId="0" borderId="2" xfId="1" applyFont="1" applyBorder="1"/>
    <xf numFmtId="0" fontId="5" fillId="0" borderId="2" xfId="1" applyFont="1" applyBorder="1"/>
    <xf numFmtId="0" fontId="0" fillId="0" borderId="0" xfId="0" applyNumberFormat="1"/>
    <xf numFmtId="165" fontId="0" fillId="0" borderId="0" xfId="0" applyNumberFormat="1"/>
    <xf numFmtId="0" fontId="0" fillId="0" borderId="2" xfId="0" applyBorder="1"/>
    <xf numFmtId="0" fontId="7" fillId="0" borderId="2" xfId="1" applyFont="1" applyBorder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22">
    <dxf>
      <font>
        <b/>
        <i val="0"/>
        <sz val="28"/>
        <color theme="0"/>
      </font>
      <border>
        <bottom style="thin">
          <color theme="6"/>
        </bottom>
        <vertical/>
        <horizontal/>
      </border>
    </dxf>
    <dxf>
      <font>
        <sz val="28"/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28"/>
        <color theme="0"/>
      </font>
      <border>
        <bottom style="thin">
          <color theme="6"/>
        </bottom>
        <vertical/>
        <horizontal/>
      </border>
    </dxf>
    <dxf>
      <font>
        <sz val="14"/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 patternType="solid"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4" defaultTableStyle="TableStyleMedium2" defaultPivotStyle="PivotStyleLight16">
    <tableStyle name="SlicerStyleLight3 2" pivot="0" table="0" count="10" xr9:uid="{64FEE8B4-845D-4DAE-87AD-A998DD5F4B42}">
      <tableStyleElement type="wholeTable" dxfId="7"/>
      <tableStyleElement type="headerRow" dxfId="6"/>
    </tableStyle>
    <tableStyle name="SlicerStyleLight3 2 2" pivot="0" table="0" count="10" xr9:uid="{77375D1D-0136-4600-AE68-CE63B294E68A}">
      <tableStyleElement type="wholeTable" dxfId="1"/>
      <tableStyleElement type="headerRow" dxfId="0"/>
    </tableStyle>
    <tableStyle name="SlicerStyleLight3 2 2 2" pivot="0" table="0" count="10" xr9:uid="{386FAC15-ECD4-41D2-84EE-88B31CBECC4B}">
      <tableStyleElement type="wholeTable" dxfId="5"/>
      <tableStyleElement type="headerRow" dxfId="4"/>
    </tableStyle>
    <tableStyle name="SlicerStyleLight6 2" pivot="0" table="0" count="10" xr9:uid="{9798888C-8339-40A9-91CB-097E09BA3837}">
      <tableStyleElement type="wholeTable" dxfId="3"/>
      <tableStyleElement type="headerRow" dxfId="2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1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4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4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4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4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4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4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4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4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4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4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4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111"/>
            <x14:slicerStyleElement type="unselectedItemWithNoData" dxfId="110"/>
            <x14:slicerStyleElement type="selectedItemWithData" dxfId="109"/>
            <x14:slicerStyleElement type="selectedItemWithNoData" dxfId="108"/>
            <x14:slicerStyleElement type="hoveredUnselectedItemWithData" dxfId="107"/>
            <x14:slicerStyleElement type="hoveredSelectedItemWithData" dxfId="106"/>
            <x14:slicerStyleElement type="hoveredUnselectedItemWithNoData" dxfId="105"/>
            <x14:slicerStyleElement type="hoveredSelectedItemWithNoData" dxfId="104"/>
          </x14:slicerStyleElements>
        </x14:slicerStyle>
        <x14:slicerStyle name="SlicerStyleLight3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3 2 2 2">
          <x14:slicerStyleElements>
            <x14:slicerStyleElement type="unselectedItemWithData" dxfId="103"/>
            <x14:slicerStyleElement type="unselectedItemWithNoData" dxfId="102"/>
            <x14:slicerStyleElement type="selectedItemWithData" dxfId="101"/>
            <x14:slicerStyleElement type="selectedItemWithNoData" dxfId="100"/>
            <x14:slicerStyleElement type="hoveredUnselectedItemWithData" dxfId="99"/>
            <x14:slicerStyleElement type="hoveredSelectedItemWithData" dxfId="98"/>
            <x14:slicerStyleElement type="hoveredUnselectedItemWithNoData" dxfId="97"/>
            <x14:slicerStyleElement type="hoveredSelectedItemWithNoData" dxfId="96"/>
          </x14:slicerStyleElements>
        </x14:slicerStyle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[Criando um Dashboard de vendas do xbox.xlsx]C̳álculos!tbl_annual_total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8-485A-BACC-6C69C4473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1437407"/>
        <c:axId val="563930159"/>
      </c:barChart>
      <c:catAx>
        <c:axId val="561437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30159"/>
        <c:crosses val="autoZero"/>
        <c:auto val="1"/>
        <c:lblAlgn val="ctr"/>
        <c:lblOffset val="100"/>
        <c:noMultiLvlLbl val="0"/>
      </c:catAx>
      <c:valAx>
        <c:axId val="56393015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6143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592455</xdr:colOff>
      <xdr:row>15</xdr:row>
      <xdr:rowOff>70485</xdr:rowOff>
    </xdr:from>
    <xdr:to>
      <xdr:col>5</xdr:col>
      <xdr:colOff>430530</xdr:colOff>
      <xdr:row>20</xdr:row>
      <xdr:rowOff>140208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455" y="2981325"/>
          <a:ext cx="2886075" cy="9841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74295</xdr:colOff>
      <xdr:row>27</xdr:row>
      <xdr:rowOff>45719</xdr:rowOff>
    </xdr:from>
    <xdr:to>
      <xdr:col>3</xdr:col>
      <xdr:colOff>404571</xdr:colOff>
      <xdr:row>31</xdr:row>
      <xdr:rowOff>36195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683895" y="515111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76954</xdr:colOff>
      <xdr:row>1</xdr:row>
      <xdr:rowOff>114301</xdr:rowOff>
    </xdr:from>
    <xdr:to>
      <xdr:col>1</xdr:col>
      <xdr:colOff>791441</xdr:colOff>
      <xdr:row>2</xdr:row>
      <xdr:rowOff>280319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620CDA-DF92-4555-9965-D42E6124AD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6358" b="-6799"/>
        <a:stretch>
          <a:fillRect/>
        </a:stretch>
      </xdr:blipFill>
      <xdr:spPr>
        <a:xfrm>
          <a:off x="3677404" y="304801"/>
          <a:ext cx="714487" cy="661318"/>
        </a:xfrm>
        <a:prstGeom prst="rect">
          <a:avLst/>
        </a:prstGeom>
      </xdr:spPr>
    </xdr:pic>
    <xdr:clientData/>
  </xdr:twoCellAnchor>
  <xdr:twoCellAnchor editAs="oneCell">
    <xdr:from>
      <xdr:col>0</xdr:col>
      <xdr:colOff>136813</xdr:colOff>
      <xdr:row>10</xdr:row>
      <xdr:rowOff>94741</xdr:rowOff>
    </xdr:from>
    <xdr:to>
      <xdr:col>0</xdr:col>
      <xdr:colOff>3524250</xdr:colOff>
      <xdr:row>30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1222FECE-7B74-4560-BD77-EF6BB87753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813" y="2514091"/>
              <a:ext cx="3387437" cy="37152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867394</xdr:colOff>
      <xdr:row>7</xdr:row>
      <xdr:rowOff>182333</xdr:rowOff>
    </xdr:from>
    <xdr:to>
      <xdr:col>11</xdr:col>
      <xdr:colOff>118736</xdr:colOff>
      <xdr:row>19</xdr:row>
      <xdr:rowOff>7274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89A07AF1-00E9-9D79-2BFC-3F311937633B}"/>
            </a:ext>
          </a:extLst>
        </xdr:cNvPr>
        <xdr:cNvGrpSpPr/>
      </xdr:nvGrpSpPr>
      <xdr:grpSpPr>
        <a:xfrm>
          <a:off x="4467844" y="1801583"/>
          <a:ext cx="5614042" cy="2339541"/>
          <a:chOff x="2647208" y="1349827"/>
          <a:chExt cx="4678877" cy="165463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FB7BAA26-DC2E-7404-B5B9-9229446B24AB}"/>
              </a:ext>
            </a:extLst>
          </xdr:cNvPr>
          <xdr:cNvSpPr/>
        </xdr:nvSpPr>
        <xdr:spPr>
          <a:xfrm>
            <a:off x="2647208" y="1353786"/>
            <a:ext cx="4613563" cy="1650671"/>
          </a:xfrm>
          <a:prstGeom prst="roundRect">
            <a:avLst>
              <a:gd name="adj" fmla="val 958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E59DDF49-5C2F-D586-C1D2-FA8920974902}"/>
              </a:ext>
            </a:extLst>
          </xdr:cNvPr>
          <xdr:cNvGrpSpPr/>
        </xdr:nvGrpSpPr>
        <xdr:grpSpPr>
          <a:xfrm>
            <a:off x="2656115" y="1349827"/>
            <a:ext cx="4669970" cy="1589317"/>
            <a:chOff x="2656115" y="1349827"/>
            <a:chExt cx="4669970" cy="1589317"/>
          </a:xfrm>
        </xdr:grpSpPr>
        <xdr:sp macro="" textlink="C̳álculos!D23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EB5092B8-137F-449F-813A-8253ACAA4D5A}"/>
                </a:ext>
              </a:extLst>
            </xdr:cNvPr>
            <xdr:cNvSpPr/>
          </xdr:nvSpPr>
          <xdr:spPr>
            <a:xfrm>
              <a:off x="3810000" y="1846420"/>
              <a:ext cx="3516085" cy="1092724"/>
            </a:xfrm>
            <a:prstGeom prst="roundRect">
              <a:avLst>
                <a:gd name="adj" fmla="val 9580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6A71922-0C87-44B8-8143-5F804C654FE9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</a:rPr>
                <a:t>R$ 600,00</a:t>
              </a:fld>
              <a:endParaRPr lang="en-US" sz="8000" b="0">
                <a:solidFill>
                  <a:srgbClr val="22C55E"/>
                </a:solidFill>
              </a:endParaRPr>
            </a:p>
          </xdr:txBody>
        </xdr:sp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223D0BA8-F118-45FA-BD37-CAD2AD117C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777837" y="1770219"/>
              <a:ext cx="1219200" cy="1165860"/>
            </a:xfrm>
            <a:prstGeom prst="rect">
              <a:avLst/>
            </a:prstGeom>
          </xdr:spPr>
        </xdr:pic>
        <xdr:sp macro="" textlink="">
          <xdr:nvSpPr>
            <xdr:cNvPr id="11" name="Retângulo: Cantos Superiores Arredondados 10">
              <a:extLst>
                <a:ext uri="{FF2B5EF4-FFF2-40B4-BE49-F238E27FC236}">
                  <a16:creationId xmlns:a16="http://schemas.microsoft.com/office/drawing/2014/main" id="{4C226F60-DFDC-7A8A-D628-5520E738CD81}"/>
                </a:ext>
              </a:extLst>
            </xdr:cNvPr>
            <xdr:cNvSpPr/>
          </xdr:nvSpPr>
          <xdr:spPr>
            <a:xfrm>
              <a:off x="2656115" y="1349827"/>
              <a:ext cx="4604658" cy="489859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/>
                <a:t>Total</a:t>
              </a:r>
              <a:r>
                <a:rPr lang="pt-BR" sz="1800" baseline="0"/>
                <a:t> Subscriptions EA </a:t>
              </a:r>
              <a:r>
                <a:rPr lang="pt-BR" sz="1800" baseline="0">
                  <a:latin typeface="Segoe UI" panose="020B0502040204020203" pitchFamily="34" charset="0"/>
                  <a:cs typeface="Segoe UI" panose="020B0502040204020203" pitchFamily="34" charset="0"/>
                </a:rPr>
                <a:t>Seasion</a:t>
              </a:r>
              <a:r>
                <a:rPr lang="pt-BR" sz="1800" baseline="0"/>
                <a:t> Pass</a:t>
              </a:r>
              <a:endParaRPr lang="pt-BR" sz="1800"/>
            </a:p>
          </xdr:txBody>
        </xdr:sp>
      </xdr:grpSp>
    </xdr:grpSp>
    <xdr:clientData/>
  </xdr:twoCellAnchor>
  <xdr:twoCellAnchor>
    <xdr:from>
      <xdr:col>14</xdr:col>
      <xdr:colOff>608859</xdr:colOff>
      <xdr:row>7</xdr:row>
      <xdr:rowOff>186415</xdr:rowOff>
    </xdr:from>
    <xdr:to>
      <xdr:col>24</xdr:col>
      <xdr:colOff>57150</xdr:colOff>
      <xdr:row>19</xdr:row>
      <xdr:rowOff>0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FD0B3C9A-0621-936B-78BE-EAF2DA99676D}"/>
            </a:ext>
          </a:extLst>
        </xdr:cNvPr>
        <xdr:cNvGrpSpPr/>
      </xdr:nvGrpSpPr>
      <xdr:grpSpPr>
        <a:xfrm>
          <a:off x="12248409" y="1805665"/>
          <a:ext cx="5544291" cy="2328185"/>
          <a:chOff x="9543309" y="1393370"/>
          <a:chExt cx="4678877" cy="1673680"/>
        </a:xfrm>
      </xdr:grpSpPr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0B541A76-84A3-4E8F-AC50-AE50D033B4BB}"/>
              </a:ext>
            </a:extLst>
          </xdr:cNvPr>
          <xdr:cNvGrpSpPr/>
        </xdr:nvGrpSpPr>
        <xdr:grpSpPr>
          <a:xfrm>
            <a:off x="9543309" y="1393370"/>
            <a:ext cx="4678877" cy="1673680"/>
            <a:chOff x="2647208" y="1349827"/>
            <a:chExt cx="4678877" cy="1654630"/>
          </a:xfrm>
        </xdr:grpSpPr>
        <xdr:sp macro="" textlink="">
          <xdr:nvSpPr>
            <xdr:cNvPr id="27" name="Retângulo: Cantos Arredondados 26">
              <a:extLst>
                <a:ext uri="{FF2B5EF4-FFF2-40B4-BE49-F238E27FC236}">
                  <a16:creationId xmlns:a16="http://schemas.microsoft.com/office/drawing/2014/main" id="{05F69371-55D5-40C0-07AC-2BF56D2F4193}"/>
                </a:ext>
              </a:extLst>
            </xdr:cNvPr>
            <xdr:cNvSpPr/>
          </xdr:nvSpPr>
          <xdr:spPr>
            <a:xfrm>
              <a:off x="2647208" y="1353786"/>
              <a:ext cx="4613563" cy="1650671"/>
            </a:xfrm>
            <a:prstGeom prst="roundRect">
              <a:avLst>
                <a:gd name="adj" fmla="val 958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28" name="Agrupar 27">
              <a:extLst>
                <a:ext uri="{FF2B5EF4-FFF2-40B4-BE49-F238E27FC236}">
                  <a16:creationId xmlns:a16="http://schemas.microsoft.com/office/drawing/2014/main" id="{2ACB26DC-7DE6-DEEB-6988-0E8EF5BF2A1B}"/>
                </a:ext>
              </a:extLst>
            </xdr:cNvPr>
            <xdr:cNvGrpSpPr/>
          </xdr:nvGrpSpPr>
          <xdr:grpSpPr>
            <a:xfrm>
              <a:off x="2647845" y="1349827"/>
              <a:ext cx="4678240" cy="1589317"/>
              <a:chOff x="2647845" y="1349827"/>
              <a:chExt cx="4678240" cy="1589317"/>
            </a:xfrm>
          </xdr:grpSpPr>
          <xdr:sp macro="" textlink="C̳álculos!D35">
            <xdr:nvSpPr>
              <xdr:cNvPr id="29" name="Retângulo: Cantos Arredondados 28">
                <a:extLst>
                  <a:ext uri="{FF2B5EF4-FFF2-40B4-BE49-F238E27FC236}">
                    <a16:creationId xmlns:a16="http://schemas.microsoft.com/office/drawing/2014/main" id="{D243EA58-0E68-D319-FDA5-65436BBD923A}"/>
                  </a:ext>
                </a:extLst>
              </xdr:cNvPr>
              <xdr:cNvSpPr/>
            </xdr:nvSpPr>
            <xdr:spPr>
              <a:xfrm>
                <a:off x="3810000" y="1846420"/>
                <a:ext cx="3516085" cy="1092724"/>
              </a:xfrm>
              <a:prstGeom prst="roundRect">
                <a:avLst>
                  <a:gd name="adj" fmla="val 9580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CB4605BA-77B8-4946-AFB4-4706E1F22B82}" type="TxLink">
                  <a:rPr lang="en-US" sz="3200" b="0" i="0" u="none" strike="noStrike">
                    <a:solidFill>
                      <a:srgbClr val="22C55E"/>
                    </a:solidFill>
                    <a:latin typeface="Aptos Narrow"/>
                  </a:rPr>
                  <a:t>R$ 940,00</a:t>
                </a:fld>
                <a:endParaRPr lang="en-US" sz="23900" b="0">
                  <a:solidFill>
                    <a:srgbClr val="22C55E"/>
                  </a:solidFill>
                </a:endParaRPr>
              </a:p>
            </xdr:txBody>
          </xdr:sp>
          <xdr:sp macro="" textlink="">
            <xdr:nvSpPr>
              <xdr:cNvPr id="31" name="Retângulo: Cantos Superiores Arredondados 30">
                <a:extLst>
                  <a:ext uri="{FF2B5EF4-FFF2-40B4-BE49-F238E27FC236}">
                    <a16:creationId xmlns:a16="http://schemas.microsoft.com/office/drawing/2014/main" id="{08730F1C-2554-A4F3-9413-6E8BD30ED70B}"/>
                  </a:ext>
                </a:extLst>
              </xdr:cNvPr>
              <xdr:cNvSpPr/>
            </xdr:nvSpPr>
            <xdr:spPr>
              <a:xfrm>
                <a:off x="2647845" y="1349827"/>
                <a:ext cx="4612929" cy="489859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800"/>
                  <a:t>Total</a:t>
                </a:r>
                <a:r>
                  <a:rPr lang="pt-BR" sz="1800" baseline="0"/>
                  <a:t> Subscriptions Minecraft Season Pass</a:t>
                </a:r>
                <a:endParaRPr lang="pt-BR" sz="1800"/>
              </a:p>
            </xdr:txBody>
          </xdr:sp>
        </xdr:grpSp>
      </xdr:grpSp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C48AA5C1-A6D7-4BCF-991E-B2BF6D34725A}"/>
              </a:ext>
            </a:extLst>
          </xdr:cNvPr>
          <xdr:cNvGrpSpPr/>
        </xdr:nvGrpSpPr>
        <xdr:grpSpPr>
          <a:xfrm>
            <a:off x="9769928" y="2032906"/>
            <a:ext cx="1295401" cy="707572"/>
            <a:chOff x="3495675" y="5400674"/>
            <a:chExt cx="1549476" cy="752476"/>
          </a:xfrm>
        </xdr:grpSpPr>
        <xdr:pic>
          <xdr:nvPicPr>
            <xdr:cNvPr id="16" name="Imagem 15">
              <a:extLst>
                <a:ext uri="{FF2B5EF4-FFF2-40B4-BE49-F238E27FC236}">
                  <a16:creationId xmlns:a16="http://schemas.microsoft.com/office/drawing/2014/main" id="{9091A793-0DB3-1181-50E3-D4BC553F969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7" name="Gráfico 16">
              <a:extLst>
                <a:ext uri="{FF2B5EF4-FFF2-40B4-BE49-F238E27FC236}">
                  <a16:creationId xmlns:a16="http://schemas.microsoft.com/office/drawing/2014/main" id="{C43AB23E-97D6-CBF3-C83A-877E8889D9E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857250</xdr:colOff>
      <xdr:row>25</xdr:row>
      <xdr:rowOff>177388</xdr:rowOff>
    </xdr:from>
    <xdr:to>
      <xdr:col>25</xdr:col>
      <xdr:colOff>571500</xdr:colOff>
      <xdr:row>51</xdr:row>
      <xdr:rowOff>57151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071E2FA6-BD5E-BDE0-4956-5825BA33BEA4}"/>
            </a:ext>
          </a:extLst>
        </xdr:cNvPr>
        <xdr:cNvGrpSpPr/>
      </xdr:nvGrpSpPr>
      <xdr:grpSpPr>
        <a:xfrm>
          <a:off x="4457700" y="5454238"/>
          <a:ext cx="14458950" cy="4832763"/>
          <a:chOff x="2743200" y="3911188"/>
          <a:chExt cx="12325350" cy="4832763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6C95DF57-2A2D-FC96-DB79-896585CA03C4}"/>
              </a:ext>
            </a:extLst>
          </xdr:cNvPr>
          <xdr:cNvGrpSpPr/>
        </xdr:nvGrpSpPr>
        <xdr:grpSpPr>
          <a:xfrm>
            <a:off x="2757799" y="3911189"/>
            <a:ext cx="12282671" cy="4832762"/>
            <a:chOff x="2901690" y="1953471"/>
            <a:chExt cx="4807526" cy="2341418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0A3F512D-1AF2-BCB7-488B-1A47FD131D17}"/>
                </a:ext>
              </a:extLst>
            </xdr:cNvPr>
            <xdr:cNvSpPr/>
          </xdr:nvSpPr>
          <xdr:spPr>
            <a:xfrm>
              <a:off x="2901690" y="1953471"/>
              <a:ext cx="4807526" cy="2341418"/>
            </a:xfrm>
            <a:prstGeom prst="roundRect">
              <a:avLst>
                <a:gd name="adj" fmla="val 720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89C3E98-DA4E-45B7-90D8-4C9BAE32E70D}"/>
                </a:ext>
              </a:extLst>
            </xdr:cNvPr>
            <xdr:cNvGraphicFramePr>
              <a:graphicFrameLocks/>
            </xdr:cNvGraphicFramePr>
          </xdr:nvGraphicFramePr>
          <xdr:xfrm>
            <a:off x="2963917" y="2290542"/>
            <a:ext cx="4651901" cy="191192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96F1C6AC-3F36-47FE-9DDD-1D76409456AA}"/>
              </a:ext>
            </a:extLst>
          </xdr:cNvPr>
          <xdr:cNvSpPr/>
        </xdr:nvSpPr>
        <xdr:spPr>
          <a:xfrm>
            <a:off x="2743200" y="3911188"/>
            <a:ext cx="12325350" cy="62271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Total</a:t>
            </a:r>
            <a:r>
              <a:rPr lang="pt-BR" sz="1800" baseline="0"/>
              <a:t> Subscripitions Xbox Game Pass</a:t>
            </a:r>
            <a:endParaRPr lang="pt-BR" sz="1800"/>
          </a:p>
        </xdr:txBody>
      </xdr:sp>
    </xdr:grpSp>
    <xdr:clientData/>
  </xdr:twoCellAnchor>
  <xdr:twoCellAnchor>
    <xdr:from>
      <xdr:col>0</xdr:col>
      <xdr:colOff>1200150</xdr:colOff>
      <xdr:row>1</xdr:row>
      <xdr:rowOff>76200</xdr:rowOff>
    </xdr:from>
    <xdr:to>
      <xdr:col>0</xdr:col>
      <xdr:colOff>2305050</xdr:colOff>
      <xdr:row>3</xdr:row>
      <xdr:rowOff>57150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EDA03090-25F7-4A4C-855D-65FD34E3F946}"/>
            </a:ext>
          </a:extLst>
        </xdr:cNvPr>
        <xdr:cNvSpPr/>
      </xdr:nvSpPr>
      <xdr:spPr>
        <a:xfrm>
          <a:off x="1200150" y="266700"/>
          <a:ext cx="1104900" cy="97155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304800</xdr:colOff>
      <xdr:row>6</xdr:row>
      <xdr:rowOff>0</xdr:rowOff>
    </xdr:from>
    <xdr:to>
      <xdr:col>0</xdr:col>
      <xdr:colOff>3524250</xdr:colOff>
      <xdr:row>9</xdr:row>
      <xdr:rowOff>19050</xdr:rowOff>
    </xdr:to>
    <xdr:sp macro="" textlink="">
      <xdr:nvSpPr>
        <xdr:cNvPr id="36" name="Retângulo: Cantos Superiores Arredondados 35">
          <a:extLst>
            <a:ext uri="{FF2B5EF4-FFF2-40B4-BE49-F238E27FC236}">
              <a16:creationId xmlns:a16="http://schemas.microsoft.com/office/drawing/2014/main" id="{CCC556E8-3E17-6D05-7ECD-ACC422C41342}"/>
            </a:ext>
          </a:extLst>
        </xdr:cNvPr>
        <xdr:cNvSpPr/>
      </xdr:nvSpPr>
      <xdr:spPr>
        <a:xfrm>
          <a:off x="304800" y="1504950"/>
          <a:ext cx="3219450" cy="74295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800" b="1"/>
            <a:t>&gt; Bem </a:t>
          </a:r>
          <a:r>
            <a:rPr lang="pt-BR" sz="3200" b="1"/>
            <a:t>vinda</a:t>
          </a:r>
          <a:r>
            <a:rPr lang="pt-BR" sz="2800" b="1"/>
            <a:t>, Liana</a:t>
          </a:r>
        </a:p>
      </xdr:txBody>
    </xdr:sp>
    <xdr:clientData/>
  </xdr:twoCellAnchor>
  <xdr:twoCellAnchor>
    <xdr:from>
      <xdr:col>1</xdr:col>
      <xdr:colOff>742950</xdr:colOff>
      <xdr:row>2</xdr:row>
      <xdr:rowOff>476250</xdr:rowOff>
    </xdr:from>
    <xdr:to>
      <xdr:col>13</xdr:col>
      <xdr:colOff>152400</xdr:colOff>
      <xdr:row>6</xdr:row>
      <xdr:rowOff>95250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B3F56DB8-F380-4A21-8D22-FBA3356BDE37}"/>
            </a:ext>
          </a:extLst>
        </xdr:cNvPr>
        <xdr:cNvSpPr/>
      </xdr:nvSpPr>
      <xdr:spPr>
        <a:xfrm>
          <a:off x="3638550" y="1162050"/>
          <a:ext cx="6838950" cy="43815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 baseline="0">
              <a:solidFill>
                <a:schemeClr val="tx1"/>
              </a:solidFill>
            </a:rPr>
            <a:t>Calculate date: 01/01/2024 - 31/12/2024 | Update date: 18/10/2026 14:04:00 </a:t>
          </a:r>
          <a:endParaRPr lang="pt-BR" sz="1600" b="1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 Rocha" refreshedDate="46313.46090474537" createdVersion="8" refreshedVersion="8" minRefreshableVersion="3" recordCount="295" xr:uid="{EA1ABC11-78B3-43F0-AA1B-24C6CBEB0BF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441594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1AC97-ADDC-498E-BBE8-CF48E8884EB9}" name="Tabela dinâ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0A3F1-213E-4A60-B690-C0275DB7831E}" name="tbl_easeason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8C00F-CD0D-4BC0-8BB9-FA6DCAC36C5E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EF60734-1DBA-4262-9502-39104F66FCFD}" sourceName="Subscription Type">
  <pivotTables>
    <pivotTable tabId="3" name="tbl_annual_total"/>
    <pivotTable tabId="3" name="tbl_easeason_total"/>
    <pivotTable tabId="3" name="Tabela dinâmica4"/>
  </pivotTables>
  <data>
    <tabular pivotCacheId="44415947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21C5840-4D23-4DC0-8A1B-54E740B04623}" cache="SegmentaçãodeDados_Subscription_Type" caption="Subscription Type" style="SlicerStyleLight3 2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1">
  <autoFilter ref="A1:M296" xr:uid="{34E0E886-4200-4B36-97B3-63DB74FF40A0}"/>
  <tableColumns count="13">
    <tableColumn id="1" xr3:uid="{C4A90516-688A-46BF-9167-EA16C2A8A652}" name="Subscriber ID" dataDxfId="20"/>
    <tableColumn id="2" xr3:uid="{53DD39D0-2220-4121-9E9D-4EAA7E151C0F}" name="Name" dataDxfId="19"/>
    <tableColumn id="3" xr3:uid="{4F5FF271-4C57-4BE0-8F2C-F82C8551625C}" name="Plan" dataDxfId="18"/>
    <tableColumn id="4" xr3:uid="{8C17EB93-79B9-4E55-B8F7-BEB82F8253E9}" name="Start Date" dataDxfId="17"/>
    <tableColumn id="5" xr3:uid="{48CEDF9B-1689-482A-A828-5CCE7713264A}" name="Auto Renewal" dataDxfId="16"/>
    <tableColumn id="6" xr3:uid="{78B82374-9AA7-4E38-AE4F-78CDE6C83720}" name="Subscription Price" dataDxfId="15" dataCellStyle="Moeda"/>
    <tableColumn id="7" xr3:uid="{F2433F68-AF33-49D0-B1FB-19A396074EDE}" name="Subscription Type" dataDxfId="14"/>
    <tableColumn id="8" xr3:uid="{FD4D9C95-F6E5-4933-9068-A71FF7DF9343}" name="EA Play Season Pass" dataDxfId="13"/>
    <tableColumn id="13" xr3:uid="{978DD0D2-834E-4CE4-A39B-30976086932F}" name="EA Play Season Pass_x000a_Price" dataDxfId="12" dataCellStyle="Moeda"/>
    <tableColumn id="9" xr3:uid="{6E29F111-C395-4580-9DAD-3407D9E8B1A4}" name="Minecraft Season Pass" dataDxfId="11"/>
    <tableColumn id="10" xr3:uid="{EF544EAA-7F25-4FD5-A10E-8E62804DB9E3}" name="Minecraft Season Pass Price" dataDxfId="10" dataCellStyle="Moeda"/>
    <tableColumn id="11" xr3:uid="{7F6EB64A-1F07-4E48-9F0F-AC7D9DCD26F8}" name="Coupon Value" dataDxfId="9" dataCellStyle="Moeda"/>
    <tableColumn id="12" xr3:uid="{2B04ABC8-DE6F-426E-ADC0-D8AFC68CA58E}" name="Total Value" dataDxfId="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B6" sqref="B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H1" zoomScale="90" zoomScaleNormal="90" workbookViewId="0">
      <selection activeCell="B6" sqref="B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2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3:E35"/>
  <sheetViews>
    <sheetView showGridLines="0" zoomScale="70" zoomScaleNormal="70" workbookViewId="0">
      <selection activeCell="I53" activeCellId="1" sqref="N23 I53"/>
    </sheetView>
  </sheetViews>
  <sheetFormatPr defaultRowHeight="14.4" x14ac:dyDescent="0.3"/>
  <cols>
    <col min="2" max="2" width="18.5546875" bestFit="1" customWidth="1"/>
    <col min="3" max="4" width="33.109375" bestFit="1" customWidth="1"/>
    <col min="5" max="5" width="8.33203125" bestFit="1" customWidth="1"/>
    <col min="6" max="6" width="10.218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1:5" x14ac:dyDescent="0.3">
      <c r="A3" s="15"/>
      <c r="B3" s="15" t="s">
        <v>313</v>
      </c>
      <c r="C3" s="15"/>
      <c r="D3" s="15"/>
      <c r="E3" s="15"/>
    </row>
    <row r="4" spans="1:5" x14ac:dyDescent="0.3">
      <c r="B4" t="s">
        <v>317</v>
      </c>
    </row>
    <row r="5" spans="1:5" x14ac:dyDescent="0.3">
      <c r="B5" t="s">
        <v>318</v>
      </c>
    </row>
    <row r="8" spans="1:5" x14ac:dyDescent="0.3">
      <c r="B8" s="13" t="s">
        <v>16</v>
      </c>
      <c r="C8" t="s">
        <v>24</v>
      </c>
    </row>
    <row r="10" spans="1:5" x14ac:dyDescent="0.3">
      <c r="B10" s="13" t="s">
        <v>315</v>
      </c>
      <c r="C10" t="s">
        <v>314</v>
      </c>
    </row>
    <row r="11" spans="1:5" x14ac:dyDescent="0.3">
      <c r="B11" s="14" t="s">
        <v>23</v>
      </c>
      <c r="C11" s="12">
        <v>217</v>
      </c>
    </row>
    <row r="12" spans="1:5" x14ac:dyDescent="0.3">
      <c r="B12" s="14" t="s">
        <v>19</v>
      </c>
      <c r="C12" s="12">
        <v>1537</v>
      </c>
    </row>
    <row r="13" spans="1:5" x14ac:dyDescent="0.3">
      <c r="B13" s="14" t="s">
        <v>316</v>
      </c>
      <c r="C13" s="12">
        <v>1754</v>
      </c>
    </row>
    <row r="15" spans="1:5" x14ac:dyDescent="0.3">
      <c r="B15" s="14" t="s">
        <v>320</v>
      </c>
    </row>
    <row r="17" spans="2:4" x14ac:dyDescent="0.3">
      <c r="B17" s="13" t="s">
        <v>16</v>
      </c>
      <c r="C17" t="s">
        <v>24</v>
      </c>
    </row>
    <row r="19" spans="2:4" x14ac:dyDescent="0.3">
      <c r="B19" s="13" t="s">
        <v>315</v>
      </c>
      <c r="C19" t="s">
        <v>321</v>
      </c>
    </row>
    <row r="20" spans="2:4" x14ac:dyDescent="0.3">
      <c r="B20" s="14" t="s">
        <v>22</v>
      </c>
      <c r="C20" s="18">
        <v>0</v>
      </c>
    </row>
    <row r="21" spans="2:4" x14ac:dyDescent="0.3">
      <c r="B21" s="14" t="s">
        <v>26</v>
      </c>
      <c r="C21" s="18">
        <v>0</v>
      </c>
    </row>
    <row r="22" spans="2:4" x14ac:dyDescent="0.3">
      <c r="B22" s="14" t="s">
        <v>18</v>
      </c>
      <c r="C22" s="18">
        <v>600</v>
      </c>
    </row>
    <row r="23" spans="2:4" x14ac:dyDescent="0.3">
      <c r="B23" s="14" t="s">
        <v>316</v>
      </c>
      <c r="C23" s="18">
        <v>600</v>
      </c>
      <c r="D23" s="19">
        <f>GETPIVOTDATA("EA Play Season Pass
Price",$B$19)</f>
        <v>600</v>
      </c>
    </row>
    <row r="26" spans="2:4" x14ac:dyDescent="0.3">
      <c r="B26" s="14" t="s">
        <v>322</v>
      </c>
    </row>
    <row r="29" spans="2:4" x14ac:dyDescent="0.3">
      <c r="B29" s="13" t="s">
        <v>16</v>
      </c>
      <c r="C29" t="s">
        <v>24</v>
      </c>
    </row>
    <row r="31" spans="2:4" x14ac:dyDescent="0.3">
      <c r="B31" s="13" t="s">
        <v>315</v>
      </c>
      <c r="C31" t="s">
        <v>323</v>
      </c>
    </row>
    <row r="32" spans="2:4" x14ac:dyDescent="0.3">
      <c r="B32" s="14" t="s">
        <v>22</v>
      </c>
      <c r="C32" s="12">
        <v>0</v>
      </c>
    </row>
    <row r="33" spans="2:4" x14ac:dyDescent="0.3">
      <c r="B33" s="14" t="s">
        <v>26</v>
      </c>
      <c r="C33" s="12">
        <v>540</v>
      </c>
    </row>
    <row r="34" spans="2:4" x14ac:dyDescent="0.3">
      <c r="B34" s="14" t="s">
        <v>18</v>
      </c>
      <c r="C34" s="12">
        <v>400</v>
      </c>
    </row>
    <row r="35" spans="2:4" x14ac:dyDescent="0.3">
      <c r="B35" s="14" t="s">
        <v>316</v>
      </c>
      <c r="C35" s="12">
        <v>940</v>
      </c>
      <c r="D35" s="19">
        <f>GETPIVOTDATA("Minecraft Season Pass Price",$B$31)</f>
        <v>940</v>
      </c>
    </row>
  </sheetData>
  <pageMargins left="0.511811024" right="0.511811024" top="0.78740157499999996" bottom="0.78740157499999996" header="0.31496062000000002" footer="0.31496062000000002"/>
  <pageSetup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Y359"/>
  <sheetViews>
    <sheetView showGridLines="0" showRowColHeaders="0" tabSelected="1" zoomScale="40" zoomScaleNormal="40" workbookViewId="0">
      <selection activeCell="AG17" sqref="AG17"/>
    </sheetView>
  </sheetViews>
  <sheetFormatPr defaultRowHeight="14.4" x14ac:dyDescent="0.3"/>
  <cols>
    <col min="1" max="1" width="52.44140625" style="4" customWidth="1"/>
    <col min="2" max="2" width="12.77734375" customWidth="1"/>
    <col min="12" max="12" width="6.5546875" customWidth="1"/>
  </cols>
  <sheetData>
    <row r="2" spans="1:25" ht="39" customHeight="1" thickBot="1" x14ac:dyDescent="0.35">
      <c r="C2" s="21" t="s">
        <v>319</v>
      </c>
      <c r="D2" s="16"/>
      <c r="E2" s="16"/>
      <c r="F2" s="16"/>
      <c r="G2" s="16"/>
      <c r="H2" s="17"/>
      <c r="I2" s="17"/>
      <c r="J2" s="17"/>
      <c r="K2" s="17"/>
      <c r="L2" s="17"/>
      <c r="M2" s="17"/>
      <c r="N2" s="17"/>
      <c r="O2" s="17"/>
      <c r="P2" s="17"/>
      <c r="Q2" s="17"/>
      <c r="R2" s="20"/>
      <c r="S2" s="20"/>
      <c r="T2" s="20"/>
      <c r="U2" s="20"/>
      <c r="V2" s="20"/>
      <c r="W2" s="20"/>
      <c r="X2" s="20"/>
      <c r="Y2" s="20"/>
    </row>
    <row r="3" spans="1:25" ht="39" customHeight="1" thickTop="1" x14ac:dyDescent="0.3"/>
    <row r="4" spans="1:25" s="7" customFormat="1" ht="8.25" customHeight="1" x14ac:dyDescent="0.3">
      <c r="A4" s="4"/>
    </row>
    <row r="5" spans="1:25" s="7" customFormat="1" ht="7.5" customHeight="1" x14ac:dyDescent="0.3">
      <c r="A5" s="4"/>
    </row>
    <row r="6" spans="1:25" s="7" customFormat="1" ht="10.5" customHeight="1" x14ac:dyDescent="0.3">
      <c r="A6" s="4"/>
    </row>
    <row r="7" spans="1:25" s="7" customFormat="1" ht="9.75" customHeight="1" x14ac:dyDescent="0.3">
      <c r="A7" s="4"/>
    </row>
    <row r="8" spans="1:25" s="7" customFormat="1" ht="33" customHeight="1" x14ac:dyDescent="0.3">
      <c r="A8" s="4"/>
    </row>
    <row r="9" spans="1:25" s="7" customFormat="1" x14ac:dyDescent="0.3">
      <c r="A9" s="4"/>
    </row>
    <row r="10" spans="1:25" s="7" customFormat="1" x14ac:dyDescent="0.3">
      <c r="A10" s="4"/>
    </row>
    <row r="11" spans="1:25" s="7" customFormat="1" x14ac:dyDescent="0.3">
      <c r="A11" s="4"/>
    </row>
    <row r="12" spans="1:25" s="7" customFormat="1" x14ac:dyDescent="0.3">
      <c r="A12" s="4"/>
    </row>
    <row r="13" spans="1:25" s="7" customFormat="1" x14ac:dyDescent="0.3">
      <c r="A13" s="4"/>
    </row>
    <row r="14" spans="1:25" s="7" customFormat="1" x14ac:dyDescent="0.3">
      <c r="A14" s="4"/>
    </row>
    <row r="15" spans="1:25" s="7" customFormat="1" x14ac:dyDescent="0.3">
      <c r="A15" s="4"/>
    </row>
    <row r="16" spans="1:25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  <row r="152" spans="1:1" s="7" customFormat="1" x14ac:dyDescent="0.3">
      <c r="A152" s="4"/>
    </row>
    <row r="153" spans="1:1" s="7" customFormat="1" x14ac:dyDescent="0.3">
      <c r="A153" s="4"/>
    </row>
    <row r="154" spans="1:1" s="7" customFormat="1" x14ac:dyDescent="0.3">
      <c r="A154" s="4"/>
    </row>
    <row r="155" spans="1:1" s="7" customFormat="1" x14ac:dyDescent="0.3">
      <c r="A155" s="4"/>
    </row>
    <row r="156" spans="1:1" s="7" customFormat="1" x14ac:dyDescent="0.3">
      <c r="A156" s="4"/>
    </row>
    <row r="157" spans="1:1" s="7" customFormat="1" x14ac:dyDescent="0.3">
      <c r="A157" s="4"/>
    </row>
    <row r="158" spans="1:1" s="7" customFormat="1" x14ac:dyDescent="0.3">
      <c r="A158" s="4"/>
    </row>
    <row r="159" spans="1:1" s="7" customFormat="1" x14ac:dyDescent="0.3">
      <c r="A159" s="4"/>
    </row>
    <row r="160" spans="1:1" s="7" customFormat="1" x14ac:dyDescent="0.3">
      <c r="A160" s="4"/>
    </row>
    <row r="161" spans="1:1" s="7" customFormat="1" x14ac:dyDescent="0.3">
      <c r="A161" s="4"/>
    </row>
    <row r="162" spans="1:1" s="7" customFormat="1" x14ac:dyDescent="0.3">
      <c r="A162" s="4"/>
    </row>
    <row r="163" spans="1:1" s="7" customFormat="1" x14ac:dyDescent="0.3">
      <c r="A163" s="4"/>
    </row>
    <row r="164" spans="1:1" s="7" customFormat="1" x14ac:dyDescent="0.3">
      <c r="A164" s="4"/>
    </row>
    <row r="165" spans="1:1" s="7" customFormat="1" x14ac:dyDescent="0.3">
      <c r="A165" s="4"/>
    </row>
    <row r="166" spans="1:1" s="7" customFormat="1" x14ac:dyDescent="0.3">
      <c r="A166" s="4"/>
    </row>
    <row r="167" spans="1:1" s="7" customFormat="1" x14ac:dyDescent="0.3">
      <c r="A167" s="4"/>
    </row>
    <row r="168" spans="1:1" s="7" customFormat="1" x14ac:dyDescent="0.3">
      <c r="A168" s="4"/>
    </row>
    <row r="169" spans="1:1" s="7" customFormat="1" x14ac:dyDescent="0.3">
      <c r="A169" s="4"/>
    </row>
    <row r="170" spans="1:1" s="7" customFormat="1" x14ac:dyDescent="0.3">
      <c r="A170" s="4"/>
    </row>
    <row r="171" spans="1:1" s="7" customFormat="1" x14ac:dyDescent="0.3">
      <c r="A171" s="4"/>
    </row>
    <row r="172" spans="1:1" s="7" customFormat="1" x14ac:dyDescent="0.3">
      <c r="A172" s="4"/>
    </row>
    <row r="173" spans="1:1" s="7" customFormat="1" x14ac:dyDescent="0.3">
      <c r="A173" s="4"/>
    </row>
    <row r="174" spans="1:1" s="7" customFormat="1" x14ac:dyDescent="0.3">
      <c r="A174" s="4"/>
    </row>
    <row r="175" spans="1:1" s="7" customFormat="1" x14ac:dyDescent="0.3">
      <c r="A175" s="4"/>
    </row>
    <row r="176" spans="1:1" s="7" customFormat="1" x14ac:dyDescent="0.3">
      <c r="A176" s="4"/>
    </row>
    <row r="177" spans="1:1" s="7" customFormat="1" x14ac:dyDescent="0.3">
      <c r="A177" s="4"/>
    </row>
    <row r="178" spans="1:1" s="7" customFormat="1" x14ac:dyDescent="0.3">
      <c r="A178" s="4"/>
    </row>
    <row r="179" spans="1:1" s="7" customFormat="1" x14ac:dyDescent="0.3">
      <c r="A179" s="4"/>
    </row>
    <row r="180" spans="1:1" s="7" customFormat="1" x14ac:dyDescent="0.3">
      <c r="A180" s="4"/>
    </row>
    <row r="181" spans="1:1" s="7" customFormat="1" x14ac:dyDescent="0.3">
      <c r="A181" s="4"/>
    </row>
    <row r="182" spans="1:1" s="7" customFormat="1" x14ac:dyDescent="0.3">
      <c r="A182" s="4"/>
    </row>
    <row r="183" spans="1:1" s="7" customFormat="1" x14ac:dyDescent="0.3">
      <c r="A183" s="4"/>
    </row>
    <row r="184" spans="1:1" s="7" customFormat="1" x14ac:dyDescent="0.3">
      <c r="A184" s="4"/>
    </row>
    <row r="185" spans="1:1" s="7" customFormat="1" x14ac:dyDescent="0.3">
      <c r="A185" s="4"/>
    </row>
    <row r="186" spans="1:1" s="7" customFormat="1" x14ac:dyDescent="0.3">
      <c r="A186" s="4"/>
    </row>
    <row r="187" spans="1:1" s="7" customFormat="1" x14ac:dyDescent="0.3">
      <c r="A187" s="4"/>
    </row>
    <row r="188" spans="1:1" s="7" customFormat="1" x14ac:dyDescent="0.3">
      <c r="A188" s="4"/>
    </row>
    <row r="189" spans="1:1" s="7" customFormat="1" x14ac:dyDescent="0.3">
      <c r="A189" s="4"/>
    </row>
    <row r="190" spans="1:1" s="7" customFormat="1" x14ac:dyDescent="0.3">
      <c r="A190" s="4"/>
    </row>
    <row r="191" spans="1:1" s="7" customFormat="1" x14ac:dyDescent="0.3">
      <c r="A191" s="4"/>
    </row>
    <row r="192" spans="1:1" s="7" customFormat="1" x14ac:dyDescent="0.3">
      <c r="A192" s="4"/>
    </row>
    <row r="193" spans="1:1" s="7" customFormat="1" x14ac:dyDescent="0.3">
      <c r="A193" s="4"/>
    </row>
    <row r="194" spans="1:1" s="7" customFormat="1" x14ac:dyDescent="0.3">
      <c r="A194" s="4"/>
    </row>
    <row r="195" spans="1:1" s="7" customFormat="1" x14ac:dyDescent="0.3">
      <c r="A195" s="4"/>
    </row>
    <row r="196" spans="1:1" s="7" customFormat="1" x14ac:dyDescent="0.3">
      <c r="A196" s="4"/>
    </row>
    <row r="197" spans="1:1" s="7" customFormat="1" x14ac:dyDescent="0.3">
      <c r="A197" s="4"/>
    </row>
    <row r="198" spans="1:1" s="7" customFormat="1" x14ac:dyDescent="0.3">
      <c r="A198" s="4"/>
    </row>
    <row r="199" spans="1:1" s="7" customFormat="1" x14ac:dyDescent="0.3">
      <c r="A199" s="4"/>
    </row>
    <row r="200" spans="1:1" s="7" customFormat="1" x14ac:dyDescent="0.3">
      <c r="A200" s="4"/>
    </row>
    <row r="201" spans="1:1" s="7" customFormat="1" x14ac:dyDescent="0.3">
      <c r="A201" s="4"/>
    </row>
    <row r="202" spans="1:1" s="7" customFormat="1" x14ac:dyDescent="0.3">
      <c r="A202" s="4"/>
    </row>
    <row r="203" spans="1:1" s="7" customFormat="1" x14ac:dyDescent="0.3">
      <c r="A203" s="4"/>
    </row>
    <row r="204" spans="1:1" s="7" customFormat="1" x14ac:dyDescent="0.3">
      <c r="A204" s="4"/>
    </row>
    <row r="205" spans="1:1" s="7" customFormat="1" x14ac:dyDescent="0.3">
      <c r="A205" s="4"/>
    </row>
    <row r="206" spans="1:1" s="7" customFormat="1" x14ac:dyDescent="0.3">
      <c r="A206" s="4"/>
    </row>
    <row r="207" spans="1:1" s="7" customFormat="1" x14ac:dyDescent="0.3">
      <c r="A207" s="4"/>
    </row>
    <row r="208" spans="1:1" s="7" customFormat="1" x14ac:dyDescent="0.3">
      <c r="A208" s="4"/>
    </row>
    <row r="209" spans="1:1" s="7" customFormat="1" x14ac:dyDescent="0.3">
      <c r="A209" s="4"/>
    </row>
    <row r="210" spans="1:1" s="7" customFormat="1" x14ac:dyDescent="0.3">
      <c r="A210" s="4"/>
    </row>
    <row r="211" spans="1:1" s="7" customFormat="1" x14ac:dyDescent="0.3">
      <c r="A211" s="4"/>
    </row>
    <row r="212" spans="1:1" s="7" customFormat="1" x14ac:dyDescent="0.3">
      <c r="A212" s="4"/>
    </row>
    <row r="213" spans="1:1" s="7" customFormat="1" x14ac:dyDescent="0.3">
      <c r="A213" s="4"/>
    </row>
    <row r="214" spans="1:1" s="7" customFormat="1" x14ac:dyDescent="0.3">
      <c r="A214" s="4"/>
    </row>
    <row r="215" spans="1:1" s="7" customFormat="1" x14ac:dyDescent="0.3">
      <c r="A215" s="4"/>
    </row>
    <row r="216" spans="1:1" s="7" customFormat="1" x14ac:dyDescent="0.3">
      <c r="A216" s="4"/>
    </row>
    <row r="217" spans="1:1" s="7" customFormat="1" x14ac:dyDescent="0.3">
      <c r="A217" s="4"/>
    </row>
    <row r="218" spans="1:1" s="7" customFormat="1" x14ac:dyDescent="0.3">
      <c r="A218" s="4"/>
    </row>
    <row r="219" spans="1:1" s="7" customFormat="1" x14ac:dyDescent="0.3">
      <c r="A219" s="4"/>
    </row>
    <row r="220" spans="1:1" s="7" customFormat="1" x14ac:dyDescent="0.3">
      <c r="A220" s="4"/>
    </row>
    <row r="221" spans="1:1" s="7" customFormat="1" x14ac:dyDescent="0.3">
      <c r="A221" s="4"/>
    </row>
    <row r="222" spans="1:1" s="7" customFormat="1" x14ac:dyDescent="0.3">
      <c r="A222" s="4"/>
    </row>
    <row r="223" spans="1:1" s="7" customFormat="1" x14ac:dyDescent="0.3">
      <c r="A223" s="4"/>
    </row>
    <row r="224" spans="1:1" s="7" customFormat="1" x14ac:dyDescent="0.3">
      <c r="A224" s="4"/>
    </row>
    <row r="225" spans="1:1" s="7" customFormat="1" x14ac:dyDescent="0.3">
      <c r="A225" s="4"/>
    </row>
    <row r="226" spans="1:1" s="7" customFormat="1" x14ac:dyDescent="0.3">
      <c r="A226" s="4"/>
    </row>
    <row r="227" spans="1:1" s="7" customFormat="1" x14ac:dyDescent="0.3">
      <c r="A227" s="4"/>
    </row>
    <row r="228" spans="1:1" s="7" customFormat="1" x14ac:dyDescent="0.3">
      <c r="A228" s="4"/>
    </row>
    <row r="229" spans="1:1" s="7" customFormat="1" x14ac:dyDescent="0.3">
      <c r="A229" s="4"/>
    </row>
    <row r="230" spans="1:1" s="7" customFormat="1" x14ac:dyDescent="0.3">
      <c r="A230" s="4"/>
    </row>
    <row r="231" spans="1:1" s="7" customFormat="1" x14ac:dyDescent="0.3">
      <c r="A231" s="4"/>
    </row>
    <row r="232" spans="1:1" s="7" customFormat="1" x14ac:dyDescent="0.3">
      <c r="A232" s="4"/>
    </row>
    <row r="233" spans="1:1" s="7" customFormat="1" x14ac:dyDescent="0.3">
      <c r="A233" s="4"/>
    </row>
    <row r="234" spans="1:1" s="7" customFormat="1" x14ac:dyDescent="0.3">
      <c r="A234" s="4"/>
    </row>
    <row r="235" spans="1:1" s="7" customFormat="1" x14ac:dyDescent="0.3">
      <c r="A235" s="4"/>
    </row>
    <row r="236" spans="1:1" s="7" customFormat="1" x14ac:dyDescent="0.3">
      <c r="A236" s="4"/>
    </row>
    <row r="237" spans="1:1" s="7" customFormat="1" x14ac:dyDescent="0.3">
      <c r="A237" s="4"/>
    </row>
    <row r="238" spans="1:1" s="7" customFormat="1" x14ac:dyDescent="0.3">
      <c r="A238" s="4"/>
    </row>
    <row r="239" spans="1:1" s="7" customFormat="1" x14ac:dyDescent="0.3">
      <c r="A239" s="4"/>
    </row>
    <row r="240" spans="1:1" s="7" customFormat="1" x14ac:dyDescent="0.3">
      <c r="A240" s="4"/>
    </row>
    <row r="241" spans="1:1" s="7" customFormat="1" x14ac:dyDescent="0.3">
      <c r="A241" s="4"/>
    </row>
    <row r="242" spans="1:1" s="7" customFormat="1" x14ac:dyDescent="0.3">
      <c r="A242" s="4"/>
    </row>
    <row r="243" spans="1:1" s="7" customFormat="1" x14ac:dyDescent="0.3">
      <c r="A243" s="4"/>
    </row>
    <row r="244" spans="1:1" s="7" customFormat="1" x14ac:dyDescent="0.3">
      <c r="A244" s="4"/>
    </row>
    <row r="245" spans="1:1" s="7" customFormat="1" x14ac:dyDescent="0.3">
      <c r="A245" s="4"/>
    </row>
    <row r="246" spans="1:1" s="7" customFormat="1" x14ac:dyDescent="0.3">
      <c r="A246" s="4"/>
    </row>
    <row r="247" spans="1:1" s="7" customFormat="1" x14ac:dyDescent="0.3">
      <c r="A247" s="4"/>
    </row>
    <row r="248" spans="1:1" s="7" customFormat="1" x14ac:dyDescent="0.3">
      <c r="A248" s="4"/>
    </row>
    <row r="249" spans="1:1" s="7" customFormat="1" x14ac:dyDescent="0.3">
      <c r="A249" s="4"/>
    </row>
    <row r="250" spans="1:1" s="7" customFormat="1" x14ac:dyDescent="0.3">
      <c r="A250" s="4"/>
    </row>
    <row r="251" spans="1:1" s="7" customFormat="1" x14ac:dyDescent="0.3">
      <c r="A251" s="4"/>
    </row>
    <row r="252" spans="1:1" s="7" customFormat="1" x14ac:dyDescent="0.3">
      <c r="A252" s="4"/>
    </row>
    <row r="253" spans="1:1" s="7" customFormat="1" x14ac:dyDescent="0.3">
      <c r="A253" s="4"/>
    </row>
    <row r="254" spans="1:1" s="7" customFormat="1" x14ac:dyDescent="0.3">
      <c r="A254" s="4"/>
    </row>
    <row r="255" spans="1:1" s="7" customFormat="1" x14ac:dyDescent="0.3">
      <c r="A255" s="4"/>
    </row>
    <row r="256" spans="1:1" s="7" customFormat="1" x14ac:dyDescent="0.3">
      <c r="A256" s="4"/>
    </row>
    <row r="257" spans="1:1" s="7" customFormat="1" x14ac:dyDescent="0.3">
      <c r="A257" s="4"/>
    </row>
    <row r="258" spans="1:1" s="7" customFormat="1" x14ac:dyDescent="0.3">
      <c r="A258" s="4"/>
    </row>
    <row r="259" spans="1:1" s="7" customFormat="1" x14ac:dyDescent="0.3">
      <c r="A259" s="4"/>
    </row>
    <row r="260" spans="1:1" s="7" customFormat="1" x14ac:dyDescent="0.3">
      <c r="A260" s="4"/>
    </row>
    <row r="261" spans="1:1" s="7" customFormat="1" x14ac:dyDescent="0.3">
      <c r="A261" s="4"/>
    </row>
    <row r="262" spans="1:1" s="7" customFormat="1" x14ac:dyDescent="0.3">
      <c r="A262" s="4"/>
    </row>
    <row r="263" spans="1:1" s="7" customFormat="1" x14ac:dyDescent="0.3">
      <c r="A263" s="4"/>
    </row>
    <row r="264" spans="1:1" s="7" customFormat="1" x14ac:dyDescent="0.3">
      <c r="A264" s="4"/>
    </row>
    <row r="265" spans="1:1" s="7" customFormat="1" x14ac:dyDescent="0.3">
      <c r="A265" s="4"/>
    </row>
    <row r="266" spans="1:1" s="7" customFormat="1" x14ac:dyDescent="0.3">
      <c r="A266" s="4"/>
    </row>
    <row r="267" spans="1:1" s="7" customFormat="1" x14ac:dyDescent="0.3">
      <c r="A267" s="4"/>
    </row>
    <row r="268" spans="1:1" s="7" customFormat="1" x14ac:dyDescent="0.3">
      <c r="A268" s="4"/>
    </row>
    <row r="269" spans="1:1" s="7" customFormat="1" x14ac:dyDescent="0.3">
      <c r="A269" s="4"/>
    </row>
    <row r="270" spans="1:1" s="7" customFormat="1" x14ac:dyDescent="0.3">
      <c r="A270" s="4"/>
    </row>
    <row r="271" spans="1:1" s="7" customFormat="1" x14ac:dyDescent="0.3">
      <c r="A271" s="4"/>
    </row>
    <row r="272" spans="1:1" s="7" customFormat="1" x14ac:dyDescent="0.3">
      <c r="A272" s="4"/>
    </row>
    <row r="273" spans="1:1" s="7" customFormat="1" x14ac:dyDescent="0.3">
      <c r="A273" s="4"/>
    </row>
    <row r="274" spans="1:1" s="7" customFormat="1" x14ac:dyDescent="0.3">
      <c r="A274" s="4"/>
    </row>
    <row r="275" spans="1:1" s="7" customFormat="1" x14ac:dyDescent="0.3">
      <c r="A275" s="4"/>
    </row>
    <row r="276" spans="1:1" s="7" customFormat="1" x14ac:dyDescent="0.3">
      <c r="A276" s="4"/>
    </row>
    <row r="277" spans="1:1" s="7" customFormat="1" x14ac:dyDescent="0.3">
      <c r="A277" s="4"/>
    </row>
    <row r="278" spans="1:1" s="7" customFormat="1" x14ac:dyDescent="0.3">
      <c r="A278" s="4"/>
    </row>
    <row r="279" spans="1:1" s="7" customFormat="1" x14ac:dyDescent="0.3">
      <c r="A279" s="4"/>
    </row>
    <row r="280" spans="1:1" s="7" customFormat="1" x14ac:dyDescent="0.3">
      <c r="A280" s="4"/>
    </row>
    <row r="281" spans="1:1" s="7" customFormat="1" x14ac:dyDescent="0.3">
      <c r="A281" s="4"/>
    </row>
    <row r="282" spans="1:1" s="7" customFormat="1" x14ac:dyDescent="0.3">
      <c r="A282" s="4"/>
    </row>
    <row r="283" spans="1:1" s="7" customFormat="1" x14ac:dyDescent="0.3">
      <c r="A283" s="4"/>
    </row>
    <row r="284" spans="1:1" s="7" customFormat="1" x14ac:dyDescent="0.3">
      <c r="A284" s="4"/>
    </row>
    <row r="285" spans="1:1" s="7" customFormat="1" x14ac:dyDescent="0.3">
      <c r="A285" s="4"/>
    </row>
    <row r="286" spans="1:1" s="7" customFormat="1" x14ac:dyDescent="0.3">
      <c r="A286" s="4"/>
    </row>
    <row r="287" spans="1:1" s="7" customFormat="1" x14ac:dyDescent="0.3">
      <c r="A287" s="4"/>
    </row>
    <row r="288" spans="1:1" s="7" customFormat="1" x14ac:dyDescent="0.3">
      <c r="A288" s="4"/>
    </row>
    <row r="289" spans="1:1" s="7" customFormat="1" x14ac:dyDescent="0.3">
      <c r="A289" s="4"/>
    </row>
    <row r="290" spans="1:1" s="7" customFormat="1" x14ac:dyDescent="0.3">
      <c r="A290" s="4"/>
    </row>
    <row r="291" spans="1:1" s="7" customFormat="1" x14ac:dyDescent="0.3">
      <c r="A291" s="4"/>
    </row>
    <row r="292" spans="1:1" s="7" customFormat="1" x14ac:dyDescent="0.3">
      <c r="A292" s="4"/>
    </row>
    <row r="293" spans="1:1" s="7" customFormat="1" x14ac:dyDescent="0.3">
      <c r="A293" s="4"/>
    </row>
    <row r="294" spans="1:1" s="7" customFormat="1" x14ac:dyDescent="0.3">
      <c r="A294" s="4"/>
    </row>
    <row r="295" spans="1:1" s="7" customFormat="1" x14ac:dyDescent="0.3">
      <c r="A295" s="4"/>
    </row>
    <row r="296" spans="1:1" s="7" customFormat="1" x14ac:dyDescent="0.3">
      <c r="A296" s="4"/>
    </row>
    <row r="297" spans="1:1" s="7" customFormat="1" x14ac:dyDescent="0.3">
      <c r="A297" s="4"/>
    </row>
    <row r="298" spans="1:1" s="7" customFormat="1" x14ac:dyDescent="0.3">
      <c r="A298" s="4"/>
    </row>
    <row r="299" spans="1:1" s="7" customFormat="1" x14ac:dyDescent="0.3">
      <c r="A299" s="4"/>
    </row>
    <row r="300" spans="1:1" s="7" customFormat="1" x14ac:dyDescent="0.3">
      <c r="A300" s="4"/>
    </row>
    <row r="301" spans="1:1" s="7" customFormat="1" x14ac:dyDescent="0.3">
      <c r="A301" s="4"/>
    </row>
    <row r="302" spans="1:1" s="7" customFormat="1" x14ac:dyDescent="0.3">
      <c r="A302" s="4"/>
    </row>
    <row r="303" spans="1:1" s="7" customFormat="1" x14ac:dyDescent="0.3">
      <c r="A303" s="4"/>
    </row>
    <row r="304" spans="1:1" s="7" customFormat="1" x14ac:dyDescent="0.3">
      <c r="A304" s="4"/>
    </row>
    <row r="305" spans="1:1" s="7" customFormat="1" x14ac:dyDescent="0.3">
      <c r="A305" s="4"/>
    </row>
    <row r="306" spans="1:1" s="7" customFormat="1" x14ac:dyDescent="0.3">
      <c r="A306" s="4"/>
    </row>
    <row r="307" spans="1:1" s="7" customFormat="1" x14ac:dyDescent="0.3">
      <c r="A307" s="4"/>
    </row>
    <row r="308" spans="1:1" s="7" customFormat="1" x14ac:dyDescent="0.3">
      <c r="A308" s="4"/>
    </row>
    <row r="309" spans="1:1" s="7" customFormat="1" x14ac:dyDescent="0.3">
      <c r="A309" s="4"/>
    </row>
    <row r="310" spans="1:1" s="7" customFormat="1" x14ac:dyDescent="0.3">
      <c r="A310" s="4"/>
    </row>
    <row r="311" spans="1:1" s="7" customFormat="1" x14ac:dyDescent="0.3">
      <c r="A311" s="4"/>
    </row>
    <row r="312" spans="1:1" s="7" customFormat="1" x14ac:dyDescent="0.3">
      <c r="A312" s="4"/>
    </row>
    <row r="313" spans="1:1" s="7" customFormat="1" x14ac:dyDescent="0.3">
      <c r="A313" s="4"/>
    </row>
    <row r="314" spans="1:1" s="7" customFormat="1" x14ac:dyDescent="0.3">
      <c r="A314" s="4"/>
    </row>
    <row r="315" spans="1:1" s="7" customFormat="1" x14ac:dyDescent="0.3">
      <c r="A315" s="4"/>
    </row>
    <row r="316" spans="1:1" s="7" customFormat="1" x14ac:dyDescent="0.3">
      <c r="A316" s="4"/>
    </row>
    <row r="317" spans="1:1" s="7" customFormat="1" x14ac:dyDescent="0.3">
      <c r="A317" s="4"/>
    </row>
    <row r="318" spans="1:1" s="7" customFormat="1" x14ac:dyDescent="0.3">
      <c r="A318" s="4"/>
    </row>
    <row r="319" spans="1:1" s="7" customFormat="1" x14ac:dyDescent="0.3">
      <c r="A319" s="4"/>
    </row>
    <row r="320" spans="1:1" s="7" customFormat="1" x14ac:dyDescent="0.3">
      <c r="A320" s="4"/>
    </row>
    <row r="321" spans="1:1" s="7" customFormat="1" x14ac:dyDescent="0.3">
      <c r="A321" s="4"/>
    </row>
    <row r="322" spans="1:1" s="7" customFormat="1" x14ac:dyDescent="0.3">
      <c r="A322" s="4"/>
    </row>
    <row r="323" spans="1:1" s="7" customFormat="1" x14ac:dyDescent="0.3">
      <c r="A323" s="4"/>
    </row>
    <row r="324" spans="1:1" s="7" customFormat="1" x14ac:dyDescent="0.3">
      <c r="A324" s="4"/>
    </row>
    <row r="325" spans="1:1" s="7" customFormat="1" x14ac:dyDescent="0.3">
      <c r="A325" s="4"/>
    </row>
    <row r="326" spans="1:1" s="7" customFormat="1" x14ac:dyDescent="0.3">
      <c r="A326" s="4"/>
    </row>
    <row r="327" spans="1:1" s="7" customFormat="1" x14ac:dyDescent="0.3">
      <c r="A327" s="4"/>
    </row>
    <row r="328" spans="1:1" s="7" customFormat="1" x14ac:dyDescent="0.3">
      <c r="A328" s="4"/>
    </row>
    <row r="329" spans="1:1" s="7" customFormat="1" x14ac:dyDescent="0.3">
      <c r="A329" s="4"/>
    </row>
    <row r="330" spans="1:1" s="7" customFormat="1" x14ac:dyDescent="0.3">
      <c r="A330" s="4"/>
    </row>
    <row r="331" spans="1:1" s="7" customFormat="1" x14ac:dyDescent="0.3">
      <c r="A331" s="4"/>
    </row>
    <row r="332" spans="1:1" s="7" customFormat="1" x14ac:dyDescent="0.3">
      <c r="A332" s="4"/>
    </row>
    <row r="333" spans="1:1" s="7" customFormat="1" x14ac:dyDescent="0.3">
      <c r="A333" s="4"/>
    </row>
    <row r="334" spans="1:1" s="7" customFormat="1" x14ac:dyDescent="0.3">
      <c r="A334" s="4"/>
    </row>
    <row r="335" spans="1:1" s="7" customFormat="1" x14ac:dyDescent="0.3">
      <c r="A335" s="4"/>
    </row>
    <row r="336" spans="1:1" s="7" customFormat="1" x14ac:dyDescent="0.3">
      <c r="A336" s="4"/>
    </row>
    <row r="337" spans="1:1" s="7" customFormat="1" x14ac:dyDescent="0.3">
      <c r="A337" s="4"/>
    </row>
    <row r="338" spans="1:1" s="7" customFormat="1" x14ac:dyDescent="0.3">
      <c r="A338" s="4"/>
    </row>
    <row r="339" spans="1:1" s="7" customFormat="1" x14ac:dyDescent="0.3">
      <c r="A339" s="4"/>
    </row>
    <row r="340" spans="1:1" s="7" customFormat="1" x14ac:dyDescent="0.3">
      <c r="A340" s="4"/>
    </row>
    <row r="341" spans="1:1" s="7" customFormat="1" x14ac:dyDescent="0.3">
      <c r="A341" s="4"/>
    </row>
    <row r="342" spans="1:1" s="7" customFormat="1" x14ac:dyDescent="0.3">
      <c r="A342" s="4"/>
    </row>
    <row r="343" spans="1:1" s="7" customFormat="1" x14ac:dyDescent="0.3">
      <c r="A343" s="4"/>
    </row>
    <row r="344" spans="1:1" s="7" customFormat="1" x14ac:dyDescent="0.3">
      <c r="A344" s="4"/>
    </row>
    <row r="345" spans="1:1" s="7" customFormat="1" x14ac:dyDescent="0.3">
      <c r="A345" s="4"/>
    </row>
    <row r="346" spans="1:1" s="7" customFormat="1" x14ac:dyDescent="0.3">
      <c r="A346" s="4"/>
    </row>
    <row r="347" spans="1:1" s="7" customFormat="1" x14ac:dyDescent="0.3">
      <c r="A347" s="4"/>
    </row>
    <row r="348" spans="1:1" s="7" customFormat="1" x14ac:dyDescent="0.3">
      <c r="A348" s="4"/>
    </row>
    <row r="349" spans="1:1" s="7" customFormat="1" x14ac:dyDescent="0.3">
      <c r="A349" s="4"/>
    </row>
    <row r="350" spans="1:1" s="7" customFormat="1" x14ac:dyDescent="0.3">
      <c r="A350" s="4"/>
    </row>
    <row r="351" spans="1:1" s="7" customFormat="1" x14ac:dyDescent="0.3">
      <c r="A351" s="4"/>
    </row>
    <row r="352" spans="1:1" s="7" customFormat="1" x14ac:dyDescent="0.3">
      <c r="A352" s="4"/>
    </row>
    <row r="353" spans="1:1" s="7" customFormat="1" x14ac:dyDescent="0.3">
      <c r="A353" s="4"/>
    </row>
    <row r="354" spans="1:1" s="7" customFormat="1" x14ac:dyDescent="0.3">
      <c r="A354" s="4"/>
    </row>
    <row r="355" spans="1:1" s="7" customFormat="1" x14ac:dyDescent="0.3">
      <c r="A355" s="4"/>
    </row>
    <row r="356" spans="1:1" s="7" customFormat="1" x14ac:dyDescent="0.3">
      <c r="A356" s="4"/>
    </row>
    <row r="357" spans="1:1" s="7" customFormat="1" x14ac:dyDescent="0.3">
      <c r="A357" s="4"/>
    </row>
    <row r="358" spans="1:1" s="7" customFormat="1" x14ac:dyDescent="0.3">
      <c r="A358" s="4"/>
    </row>
    <row r="359" spans="1:1" s="7" customFormat="1" x14ac:dyDescent="0.3">
      <c r="A359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f2fe4c-f5b1-4d22-b301-defcaac03ed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3916BCCAD6E469DB85302E920F017" ma:contentTypeVersion="10" ma:contentTypeDescription="Crie um novo documento." ma:contentTypeScope="" ma:versionID="9358d6536e949ccc015e1dbfcf2f57c3">
  <xsd:schema xmlns:xsd="http://www.w3.org/2001/XMLSchema" xmlns:xs="http://www.w3.org/2001/XMLSchema" xmlns:p="http://schemas.microsoft.com/office/2006/metadata/properties" xmlns:ns3="44f2fe4c-f5b1-4d22-b301-defcaac03edc" targetNamespace="http://schemas.microsoft.com/office/2006/metadata/properties" ma:root="true" ma:fieldsID="fffe005dab8fc54c9afadd5d9cf8d1d5" ns3:_="">
    <xsd:import namespace="44f2fe4c-f5b1-4d22-b301-defcaac03e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2fe4c-f5b1-4d22-b301-defcaac03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44f2fe4c-f5b1-4d22-b301-defcaac03edc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EC473C-A34A-4424-A2C8-B180AA36FE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f2fe4c-f5b1-4d22-b301-defcaac03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Beatriz   Rocha </cp:lastModifiedBy>
  <dcterms:created xsi:type="dcterms:W3CDTF">2024-12-19T13:13:10Z</dcterms:created>
  <dcterms:modified xsi:type="dcterms:W3CDTF">2026-10-18T17:19:14Z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0x010100C193916BCCAD6E469DB85302E920F017</vt:lpwstr>
  </property>
</Properties>
</file>